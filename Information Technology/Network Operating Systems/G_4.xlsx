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14355" windowHeight="7995"/>
  </bookViews>
  <sheets>
    <sheet name="G4" sheetId="1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D26" i="1"/>
  <c r="D28" s="1"/>
  <c r="D30" s="1"/>
  <c r="C26"/>
  <c r="E4"/>
  <c r="D4"/>
  <c r="E3"/>
  <c r="D3"/>
</calcChain>
</file>

<file path=xl/sharedStrings.xml><?xml version="1.0" encoding="utf-8"?>
<sst xmlns="http://schemas.openxmlformats.org/spreadsheetml/2006/main" count="50" uniqueCount="50">
  <si>
    <t>رقم المجموعة</t>
  </si>
  <si>
    <t>ملاحظات</t>
  </si>
  <si>
    <t>رقم الوظيفة</t>
  </si>
  <si>
    <t>أسماء طلاب المجموعة</t>
  </si>
  <si>
    <t>المواصفات (52)</t>
  </si>
  <si>
    <t>التوضع</t>
  </si>
  <si>
    <t>الارتفاع</t>
  </si>
  <si>
    <t>الارتفاع المطلوب 2U - ارتفاع الطراز المقدم 4U</t>
  </si>
  <si>
    <t>المعالجات</t>
  </si>
  <si>
    <t>المعالج المقدم هو نفس المعالج المطلوب  AMD Opteron™ Processor Model 6172 2.1GHz 12Core ولكن العدد المطلوب هو معالج واحد قابل للتوسع حتى معالجين والعدد المقدم هو 4 معالجات !</t>
  </si>
  <si>
    <t>اللوحة الأم</t>
  </si>
  <si>
    <t>الذاكرة</t>
  </si>
  <si>
    <t>لم يبين العرض مواصفات وسرعة الذواكر.</t>
  </si>
  <si>
    <t>التخزين</t>
  </si>
  <si>
    <t>المطلوب مصفوفة RAID 5 من أقراص نوع SAS بحجم تخزين فعلي 2TB. يتم تحقيق المطلوب بتركيب 5 أقراص بسعة 500GB للقرص الواحد وبسعة كلية 2.5TB وبعد تعريف مصفوفة الريد يصبح حجم التخزين الفعلي 2TB.</t>
  </si>
  <si>
    <t>التشبيك</t>
  </si>
  <si>
    <t>منفذ التوسع</t>
  </si>
  <si>
    <t>لم يبين العرض مواصفات منافذ التوسع باستثناء العدد</t>
  </si>
  <si>
    <t>القرص الليزري</t>
  </si>
  <si>
    <t>نظام التشغيل</t>
  </si>
  <si>
    <t>لم يذكر العرض أنظمة التسغيل التي يدعمها المخدم</t>
  </si>
  <si>
    <t>وحدة التغذية</t>
  </si>
  <si>
    <t>مراوح التبريد</t>
  </si>
  <si>
    <t>الموديل المعروض فيه 3 مراوح تحقق المطلوب ولكن العرض المقدم لم يذكر أي شيئ عن هذه المواصفة المطلوبة</t>
  </si>
  <si>
    <t>مواصفات أخرى</t>
  </si>
  <si>
    <t>لم يبين العرض المواصفات الأخرى للجهاز ولم يقدم جهاز UPS</t>
  </si>
  <si>
    <t>السعر (12)</t>
  </si>
  <si>
    <t>المخدم هو نفسه المطلوب</t>
  </si>
  <si>
    <t>المخدم ليس هو المخدم المطلوب ولكن يحقق المطلوب</t>
  </si>
  <si>
    <t>السعر منطقي</t>
  </si>
  <si>
    <t xml:space="preserve">السعر المقدم أكبر من السعر المقترح حتى بدون جهاز UPS. السعر المقترح هو 7741  دولار أمريكي بما فيها وحدة UPS (انظر الملف المرفق Tutor Selection) </t>
  </si>
  <si>
    <t>الأناقة (12)</t>
  </si>
  <si>
    <t>الأناقة و الاهتمام في الملفات المقدمة</t>
  </si>
  <si>
    <t>استخدام جدول للمواصفات كما في الطلب</t>
  </si>
  <si>
    <t>النشرات الفنية (12)</t>
  </si>
  <si>
    <t>النشرات الفنية</t>
  </si>
  <si>
    <t>تم تقديم نشرة فنية ولكن لطراز آخر</t>
  </si>
  <si>
    <t>معلومات عن الشركة (12)</t>
  </si>
  <si>
    <t xml:space="preserve">معلومات تاريخية </t>
  </si>
  <si>
    <t>المنتجات بشكل عام</t>
  </si>
  <si>
    <t>لم يتم التطرق إلى منتجات الشركة الأخرى</t>
  </si>
  <si>
    <t>العلامة النهائية</t>
  </si>
  <si>
    <t>المخدم المقدم</t>
  </si>
  <si>
    <t xml:space="preserve"> </t>
  </si>
  <si>
    <t xml:space="preserve">HP Proliant DL385G7 </t>
  </si>
  <si>
    <t>العلامة من 15</t>
  </si>
  <si>
    <t>العلامة من 10</t>
  </si>
  <si>
    <t>غرفة الاتصالات في مركز المعلومات تقوم بتخديم المساحات والمكاتب التابعة لمركز المعلومات والتي تقع خارج غرفة المخدمات. لا يسمح المعيار لأي مكتب إداري أن يقع ضمن مركز المعلومات.</t>
  </si>
  <si>
    <t>العلامة من 25</t>
  </si>
  <si>
    <t>http://h71016.www7.hp.com/dstore/MiddleFrame.asp?page=config&amp;ProductLineId=431&amp;FamilyId=3176&amp;BaseId=33123&amp;oi=E9CED&amp;BEID=19701&amp;SBLID=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</si>
</sst>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78"/>
    </font>
    <font>
      <sz val="12"/>
      <name val="Arial"/>
      <family val="2"/>
    </font>
    <font>
      <b/>
      <sz val="16"/>
      <name val="Arial"/>
      <family val="2"/>
    </font>
    <font>
      <sz val="11"/>
      <color rgb="FF0000FF"/>
      <name val="Calibri"/>
      <family val="2"/>
      <scheme val="minor"/>
    </font>
    <font>
      <b/>
      <sz val="16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  <font>
      <u/>
      <sz val="10.45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" fillId="0" borderId="0" xfId="1"/>
    <xf numFmtId="0" fontId="0" fillId="0" borderId="5" xfId="0" applyBorder="1"/>
    <xf numFmtId="0" fontId="2" fillId="2" borderId="4" xfId="1" applyFont="1" applyFill="1" applyBorder="1" applyAlignment="1">
      <alignment horizontal="right"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2" fillId="2" borderId="8" xfId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wrapText="1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0" fontId="6" fillId="2" borderId="3" xfId="1" applyFont="1" applyFill="1" applyBorder="1" applyAlignment="1">
      <alignment horizontal="center" vertical="center"/>
    </xf>
    <xf numFmtId="0" fontId="1" fillId="0" borderId="3" xfId="1" applyBorder="1" applyAlignment="1">
      <alignment horizontal="center" wrapText="1"/>
    </xf>
    <xf numFmtId="0" fontId="1" fillId="5" borderId="3" xfId="1" applyFill="1" applyBorder="1" applyAlignment="1">
      <alignment horizontal="center" vertical="center"/>
    </xf>
    <xf numFmtId="0" fontId="1" fillId="0" borderId="3" xfId="1" applyBorder="1" applyAlignment="1">
      <alignment horizontal="right" wrapText="1"/>
    </xf>
    <xf numFmtId="0" fontId="6" fillId="0" borderId="3" xfId="1" applyFont="1" applyBorder="1" applyAlignment="1">
      <alignment horizontal="right" vertical="center"/>
    </xf>
    <xf numFmtId="0" fontId="1" fillId="3" borderId="3" xfId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3" xfId="1" applyFont="1" applyBorder="1"/>
    <xf numFmtId="0" fontId="8" fillId="2" borderId="3" xfId="1" applyFont="1" applyFill="1" applyBorder="1" applyAlignment="1">
      <alignment horizontal="left"/>
    </xf>
    <xf numFmtId="0" fontId="1" fillId="0" borderId="3" xfId="1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9" fillId="0" borderId="6" xfId="2" applyBorder="1" applyAlignment="1" applyProtection="1">
      <alignment horizontal="left" vertical="center"/>
    </xf>
    <xf numFmtId="0" fontId="10" fillId="0" borderId="6" xfId="3" applyBorder="1" applyAlignment="1" applyProtection="1">
      <alignment horizontal="left" vertical="center"/>
    </xf>
    <xf numFmtId="0" fontId="1" fillId="0" borderId="0" xfId="1" applyAlignment="1">
      <alignment horizontal="center"/>
    </xf>
  </cellXfs>
  <cellStyles count="4">
    <cellStyle name="Hyperlink" xfId="2" builtinId="8"/>
    <cellStyle name="Hyperlink 2" xf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vu/Assignment%20Specs_F10/Groups_F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roup"/>
      <sheetName val="G1"/>
      <sheetName val="G2"/>
      <sheetName val="G3"/>
      <sheetName val="G4"/>
      <sheetName val="G6"/>
      <sheetName val="G11"/>
      <sheetName val="G12"/>
      <sheetName val="G13"/>
      <sheetName val="G14"/>
      <sheetName val="G15"/>
      <sheetName val="G19"/>
      <sheetName val="G20"/>
      <sheetName val="G24"/>
    </sheetNames>
    <sheetDataSet>
      <sheetData sheetId="0">
        <row r="44">
          <cell r="B44" t="str">
            <v>mohamed amir jamal aldeen dliwati</v>
          </cell>
          <cell r="D44" t="str">
            <v>C17</v>
          </cell>
        </row>
        <row r="45">
          <cell r="B45" t="str">
            <v>Mhd Adeeb mohammed ali Bitar</v>
          </cell>
          <cell r="D45" t="str">
            <v>C17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71016.www7.hp.com/dstore/MiddleFrame.asp?page=config&amp;ProductLineId=431&amp;FamilyId=3176&amp;BaseId=33123&amp;oi=E9CED&amp;BEID=19701&amp;SBLI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rightToLeft="1" tabSelected="1" zoomScale="95" zoomScaleNormal="95" workbookViewId="0"/>
  </sheetViews>
  <sheetFormatPr defaultRowHeight="14.25"/>
  <cols>
    <col min="1" max="1" width="19.85546875" style="6" bestFit="1" customWidth="1"/>
    <col min="2" max="2" width="26.7109375" style="6" customWidth="1"/>
    <col min="3" max="3" width="5" style="6" customWidth="1"/>
    <col min="4" max="4" width="7.140625" style="6" customWidth="1"/>
    <col min="5" max="5" width="57.85546875" style="38" customWidth="1"/>
    <col min="6" max="16384" width="9.140625" style="6"/>
  </cols>
  <sheetData>
    <row r="1" spans="1:5" ht="17.25" customHeight="1">
      <c r="A1" s="1" t="s">
        <v>0</v>
      </c>
      <c r="B1" s="2"/>
      <c r="C1" s="3">
        <v>4</v>
      </c>
      <c r="D1" s="4"/>
      <c r="E1" s="5" t="s">
        <v>1</v>
      </c>
    </row>
    <row r="2" spans="1:5" ht="17.25" customHeight="1">
      <c r="A2" s="1" t="s">
        <v>2</v>
      </c>
      <c r="B2" s="2"/>
      <c r="C2" s="3">
        <v>4</v>
      </c>
      <c r="D2" s="4"/>
      <c r="E2" s="7"/>
    </row>
    <row r="3" spans="1:5" ht="17.25" customHeight="1">
      <c r="A3" s="8" t="s">
        <v>3</v>
      </c>
      <c r="B3" s="9"/>
      <c r="C3" s="10"/>
      <c r="D3" s="11" t="str">
        <f>[1]Group!D44</f>
        <v>C17</v>
      </c>
      <c r="E3" s="12" t="str">
        <f>[1]Group!B44</f>
        <v>mohamed amir jamal aldeen dliwati</v>
      </c>
    </row>
    <row r="4" spans="1:5" ht="17.25" customHeight="1">
      <c r="A4" s="13"/>
      <c r="B4" s="14"/>
      <c r="C4" s="15"/>
      <c r="D4" s="11" t="str">
        <f>[1]Group!D45</f>
        <v>C17</v>
      </c>
      <c r="E4" s="12" t="str">
        <f>[1]Group!B45</f>
        <v>Mhd Adeeb mohammed ali Bitar</v>
      </c>
    </row>
    <row r="5" spans="1:5" ht="17.25" customHeight="1">
      <c r="A5" s="16"/>
      <c r="B5" s="17"/>
      <c r="C5" s="18"/>
      <c r="D5" s="11"/>
      <c r="E5" s="19"/>
    </row>
    <row r="6" spans="1:5">
      <c r="A6" s="20" t="s">
        <v>4</v>
      </c>
      <c r="B6" s="21" t="s">
        <v>5</v>
      </c>
      <c r="C6" s="22">
        <v>1</v>
      </c>
      <c r="D6" s="11">
        <v>1</v>
      </c>
      <c r="E6" s="23"/>
    </row>
    <row r="7" spans="1:5">
      <c r="A7" s="20"/>
      <c r="B7" s="21" t="s">
        <v>6</v>
      </c>
      <c r="C7" s="22">
        <v>1</v>
      </c>
      <c r="D7" s="24">
        <v>0</v>
      </c>
      <c r="E7" s="25" t="s">
        <v>7</v>
      </c>
    </row>
    <row r="8" spans="1:5" ht="42.75">
      <c r="A8" s="20"/>
      <c r="B8" s="21" t="s">
        <v>8</v>
      </c>
      <c r="C8" s="22">
        <v>10</v>
      </c>
      <c r="D8" s="24">
        <v>10</v>
      </c>
      <c r="E8" s="25" t="s">
        <v>9</v>
      </c>
    </row>
    <row r="9" spans="1:5">
      <c r="A9" s="20"/>
      <c r="B9" s="21" t="s">
        <v>10</v>
      </c>
      <c r="C9" s="22">
        <v>1</v>
      </c>
      <c r="D9" s="11">
        <v>1</v>
      </c>
      <c r="E9" s="23"/>
    </row>
    <row r="10" spans="1:5">
      <c r="A10" s="20"/>
      <c r="B10" s="21" t="s">
        <v>11</v>
      </c>
      <c r="C10" s="22">
        <v>10</v>
      </c>
      <c r="D10" s="24">
        <v>8</v>
      </c>
      <c r="E10" s="25" t="s">
        <v>12</v>
      </c>
    </row>
    <row r="11" spans="1:5" ht="42.75">
      <c r="A11" s="20"/>
      <c r="B11" s="21" t="s">
        <v>13</v>
      </c>
      <c r="C11" s="22">
        <v>15</v>
      </c>
      <c r="D11" s="24">
        <v>4</v>
      </c>
      <c r="E11" s="25" t="s">
        <v>14</v>
      </c>
    </row>
    <row r="12" spans="1:5">
      <c r="A12" s="20"/>
      <c r="B12" s="21" t="s">
        <v>15</v>
      </c>
      <c r="C12" s="22">
        <v>1</v>
      </c>
      <c r="D12" s="11">
        <v>1</v>
      </c>
      <c r="E12" s="23"/>
    </row>
    <row r="13" spans="1:5">
      <c r="A13" s="20"/>
      <c r="B13" s="21" t="s">
        <v>16</v>
      </c>
      <c r="C13" s="22">
        <v>3</v>
      </c>
      <c r="D13" s="11">
        <v>2</v>
      </c>
      <c r="E13" s="25" t="s">
        <v>17</v>
      </c>
    </row>
    <row r="14" spans="1:5">
      <c r="A14" s="20"/>
      <c r="B14" s="21" t="s">
        <v>18</v>
      </c>
      <c r="C14" s="22">
        <v>1</v>
      </c>
      <c r="D14" s="11">
        <v>1</v>
      </c>
      <c r="E14" s="25"/>
    </row>
    <row r="15" spans="1:5">
      <c r="A15" s="20"/>
      <c r="B15" s="21" t="s">
        <v>19</v>
      </c>
      <c r="C15" s="22">
        <v>2</v>
      </c>
      <c r="D15" s="24">
        <v>0</v>
      </c>
      <c r="E15" s="25" t="s">
        <v>20</v>
      </c>
    </row>
    <row r="16" spans="1:5">
      <c r="A16" s="20"/>
      <c r="B16" s="21" t="s">
        <v>21</v>
      </c>
      <c r="C16" s="22">
        <v>3</v>
      </c>
      <c r="D16" s="11">
        <v>3</v>
      </c>
      <c r="E16" s="25"/>
    </row>
    <row r="17" spans="1:5" ht="28.5">
      <c r="A17" s="20"/>
      <c r="B17" s="21" t="s">
        <v>22</v>
      </c>
      <c r="C17" s="22">
        <v>2</v>
      </c>
      <c r="D17" s="24">
        <v>1</v>
      </c>
      <c r="E17" s="25" t="s">
        <v>23</v>
      </c>
    </row>
    <row r="18" spans="1:5">
      <c r="A18" s="20"/>
      <c r="B18" s="26" t="s">
        <v>24</v>
      </c>
      <c r="C18" s="22">
        <v>2</v>
      </c>
      <c r="D18" s="27">
        <v>0</v>
      </c>
      <c r="E18" s="25" t="s">
        <v>25</v>
      </c>
    </row>
    <row r="19" spans="1:5">
      <c r="A19" s="28" t="s">
        <v>26</v>
      </c>
      <c r="B19" s="26" t="s">
        <v>27</v>
      </c>
      <c r="C19" s="22">
        <v>4</v>
      </c>
      <c r="D19" s="11">
        <v>2</v>
      </c>
      <c r="E19" s="25" t="s">
        <v>28</v>
      </c>
    </row>
    <row r="20" spans="1:5" ht="42.75">
      <c r="A20" s="29"/>
      <c r="B20" s="26" t="s">
        <v>29</v>
      </c>
      <c r="C20" s="22">
        <v>8</v>
      </c>
      <c r="D20" s="24">
        <v>4</v>
      </c>
      <c r="E20" s="25" t="s">
        <v>30</v>
      </c>
    </row>
    <row r="21" spans="1:5">
      <c r="A21" s="20" t="s">
        <v>31</v>
      </c>
      <c r="B21" s="26" t="s">
        <v>32</v>
      </c>
      <c r="C21" s="22">
        <v>8</v>
      </c>
      <c r="D21" s="11">
        <v>6</v>
      </c>
      <c r="E21" s="23"/>
    </row>
    <row r="22" spans="1:5">
      <c r="A22" s="20"/>
      <c r="B22" s="26" t="s">
        <v>33</v>
      </c>
      <c r="C22" s="22">
        <v>4</v>
      </c>
      <c r="D22" s="11">
        <v>3</v>
      </c>
      <c r="E22" s="23"/>
    </row>
    <row r="23" spans="1:5">
      <c r="A23" s="30" t="s">
        <v>34</v>
      </c>
      <c r="B23" s="26" t="s">
        <v>35</v>
      </c>
      <c r="C23" s="22">
        <v>12</v>
      </c>
      <c r="D23" s="24">
        <v>3</v>
      </c>
      <c r="E23" s="25" t="s">
        <v>36</v>
      </c>
    </row>
    <row r="24" spans="1:5">
      <c r="A24" s="20" t="s">
        <v>37</v>
      </c>
      <c r="B24" s="26" t="s">
        <v>38</v>
      </c>
      <c r="C24" s="22">
        <v>6</v>
      </c>
      <c r="D24" s="11">
        <v>6</v>
      </c>
      <c r="E24" s="23"/>
    </row>
    <row r="25" spans="1:5">
      <c r="A25" s="20"/>
      <c r="B25" s="26" t="s">
        <v>39</v>
      </c>
      <c r="C25" s="22">
        <v>6</v>
      </c>
      <c r="D25" s="24">
        <v>3</v>
      </c>
      <c r="E25" s="25" t="s">
        <v>40</v>
      </c>
    </row>
    <row r="26" spans="1:5" ht="15">
      <c r="A26" s="20" t="s">
        <v>41</v>
      </c>
      <c r="B26" s="20"/>
      <c r="C26" s="11">
        <f>SUM(C6:C25)</f>
        <v>100</v>
      </c>
      <c r="D26" s="31">
        <f>SUM(D6:D25)</f>
        <v>59</v>
      </c>
      <c r="E26" s="23"/>
    </row>
    <row r="27" spans="1:5">
      <c r="A27" s="20" t="s">
        <v>42</v>
      </c>
      <c r="B27" s="20"/>
      <c r="C27" s="32" t="s">
        <v>43</v>
      </c>
      <c r="D27" s="33"/>
      <c r="E27" s="25" t="s">
        <v>44</v>
      </c>
    </row>
    <row r="28" spans="1:5">
      <c r="A28" s="20" t="s">
        <v>45</v>
      </c>
      <c r="B28" s="34"/>
      <c r="C28" s="35">
        <v>15</v>
      </c>
      <c r="D28" s="35">
        <f>D26*15/100</f>
        <v>8.85</v>
      </c>
      <c r="E28" s="23"/>
    </row>
    <row r="29" spans="1:5" ht="42.75">
      <c r="A29" s="20" t="s">
        <v>46</v>
      </c>
      <c r="B29" s="34"/>
      <c r="C29" s="11">
        <v>10</v>
      </c>
      <c r="D29" s="11">
        <v>8</v>
      </c>
      <c r="E29" s="25" t="s">
        <v>47</v>
      </c>
    </row>
    <row r="30" spans="1:5" ht="15">
      <c r="A30" s="20" t="s">
        <v>48</v>
      </c>
      <c r="B30" s="34"/>
      <c r="C30" s="35">
        <v>25</v>
      </c>
      <c r="D30" s="31">
        <f>SUM(D28:D29)</f>
        <v>16.850000000000001</v>
      </c>
      <c r="E30" s="23"/>
    </row>
    <row r="31" spans="1:5" ht="15">
      <c r="A31" s="36" t="s">
        <v>49</v>
      </c>
      <c r="B31" s="37"/>
      <c r="C31" s="37"/>
      <c r="D31" s="37"/>
      <c r="E31" s="37"/>
    </row>
  </sheetData>
  <mergeCells count="13">
    <mergeCell ref="A31:E31"/>
    <mergeCell ref="A24:A25"/>
    <mergeCell ref="A26:B26"/>
    <mergeCell ref="A27:B27"/>
    <mergeCell ref="A28:B28"/>
    <mergeCell ref="A29:B29"/>
    <mergeCell ref="A30:B30"/>
    <mergeCell ref="E1:E2"/>
    <mergeCell ref="A3:A5"/>
    <mergeCell ref="C3:C5"/>
    <mergeCell ref="A6:A18"/>
    <mergeCell ref="A19:A20"/>
    <mergeCell ref="A21:A22"/>
  </mergeCells>
  <hyperlinks>
    <hyperlink ref="A3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Mutaa Mulki</dc:creator>
  <cp:lastModifiedBy>Mutaa Mulki</cp:lastModifiedBy>
  <dcterms:created xsi:type="dcterms:W3CDTF">2011-05-10T08:43:03Z</dcterms:created>
  <dcterms:modified xsi:type="dcterms:W3CDTF">2011-05-10T08:43:26Z</dcterms:modified>
</cp:coreProperties>
</file>